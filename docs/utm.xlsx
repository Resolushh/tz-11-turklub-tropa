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680049226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m" sheetId="1" r:id="R7c416b836a12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B6F8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6F8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752d50de44cfc" /><Relationship Type="http://schemas.openxmlformats.org/officeDocument/2006/relationships/theme" Target="/xl/theme/theme1.xml" Id="Re02552b5b04b45e4" /><Relationship Type="http://schemas.openxmlformats.org/officeDocument/2006/relationships/sharedStrings" Target="/xl/sharedStrings.xml" Id="R5d013e3fa98b45e3" /><Relationship Type="http://schemas.openxmlformats.org/officeDocument/2006/relationships/worksheet" Target="/xl/worksheets/sheet1.xml" Id="R7c416b836a12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18" hidden="0" customWidth="1"/>
    <x:col min="10" max="10" width="75" hidden="0" customWidth="1"/>
    <x:col min="11" max="11" width="25" hidden="0" customWidth="1"/>
    <x:col min="12" max="12" width="25" hidden="0" customWidth="1"/>
    <x:col min="13" max="13" width="25" hidden="0" customWidth="1"/>
    <x:col min="14" max="14" width="30" hidden="0" customWidth="1"/>
    <x:col min="15" max="15" width="30" hidden="0" customWidth="1"/>
    <x:col min="16" max="16" width="30" hidden="0" customWidth="1"/>
    <x:col min="18" max="18" width="65" hidden="0" customWidth="1"/>
  </x:cols>
  <x:sheetData>
    <x:row r="1" ht="42" customHeight="1">
      <x:c r="A1" s="4" t="str">
        <x:v>номер</x:v>
      </x:c>
      <x:c r="B1" s="4" t="str">
        <x:v>канал</x:v>
      </x:c>
      <x:c r="C1" s="4" t="str">
        <x:v>размещение</x:v>
      </x:c>
      <x:c r="D1" s="4" t="str">
        <x:v>utm_source</x:v>
      </x:c>
      <x:c r="E1" s="4" t="str">
        <x:v>utm_medium</x:v>
      </x:c>
      <x:c r="F1" s="4" t="str">
        <x:v>utm_campaign</x:v>
      </x:c>
      <x:c r="G1" s="4" t="str">
        <x:v>utm_content</x:v>
      </x:c>
      <x:c r="H1" s="4" t="str">
        <x:v>utm_term</x:v>
      </x:c>
      <x:c r="I1" s="4" t="str">
        <x:v>страница</x:v>
      </x:c>
      <x:c r="J1" s="4" t="str">
        <x:v>полная_ссылка</x:v>
      </x:c>
      <x:c r="K1" s="4" t="str">
        <x:v>короткая_ссылка</x:v>
      </x:c>
      <x:c r="L1" s="4" t="str">
        <x:v>адрес_публикации</x:v>
      </x:c>
      <x:c r="M1" s="4" t="str">
        <x:v>дата_публикации</x:v>
      </x:c>
      <x:c r="N1" s="4" t="str">
        <x:v>статус</x:v>
      </x:c>
      <x:c r="O1" s="4" t="str">
        <x:v>обоснование</x:v>
      </x:c>
      <x:c r="P1" s="4" t="str">
        <x:v>якорь</x:v>
      </x:c>
      <x:c r="Q1" s="1"/>
      <x:c r="R1" s="1" t="str">
        <x:v>Адрес сайта</x:v>
      </x:c>
    </x:row>
    <x:row r="2" ht="68" customHeight="1">
      <x:c r="A2" s="6" t="str">
        <x:v>U-01</x:v>
      </x:c>
      <x:c r="B2" s="6" t="str">
        <x:v>Instagram</x:v>
      </x:c>
      <x:c r="C2" s="6" t="str">
        <x:v>Шапка профиля</x:v>
      </x:c>
      <x:c r="D2" s="7" t="str">
        <x:v>instagram</x:v>
      </x:c>
      <x:c r="E2" s="7" t="str">
        <x:v>social</x:v>
      </x:c>
      <x:c r="F2" s="7" t="str">
        <x:v>winter_trips_2026</x:v>
      </x:c>
      <x:c r="G2" s="7" t="str">
        <x:v>bio</x:v>
      </x:c>
      <x:c r="H2" s="7" t="str">
        <x:v>winter_hiking</x:v>
      </x:c>
      <x:c r="I2" s="6" t="str">
        <x:v>index.html</x:v>
      </x:c>
      <x:c r="J2" s="6" t="str">
        <x:f>IF(D2="","",$R$2&amp;"/"&amp;I2&amp;"?utm_source="&amp;D2&amp;"&amp;utm_medium="&amp;E2&amp;"&amp;utm_campaign="&amp;F2&amp;"&amp;utm_content="&amp;G2&amp;IF(H2="","","&amp;utm_term="&amp;H2)&amp;IF(P2="","","#"&amp;P2))</x:f>
        <x:v>https://tz-11-turklub-tropa-phi.vercel.app/index.html?utm_source=instagram&amp;utm_medium=social&amp;utm_campaign=winter_trips_2026&amp;utm_content=bio&amp;utm_term=winter_hiking</x:v>
      </x:c>
      <x:c r="K2" s="6"/>
      <x:c r="L2" s="6"/>
      <x:c r="M2" s="6"/>
      <x:c r="N2" s="6" t="str">
        <x:v>Подготовлена, не опубликована</x:v>
      </x:c>
      <x:c r="O2" s="6" t="str">
        <x:v>Обзор клуба и выбор похода</x:v>
      </x:c>
      <x:c r="P2" s="6" t="str"/>
      <x:c r="Q2" s="1"/>
      <x:c r="R2" s="1" t="str">
        <x:v>https://tz-11-turklub-tropa-phi.vercel.app</x:v>
      </x:c>
    </x:row>
    <x:row r="3" ht="68" customHeight="1">
      <x:c r="A3" s="6" t="str">
        <x:v>U-02</x:v>
      </x:c>
      <x:c r="B3" s="6" t="str">
        <x:v>Instagram</x:v>
      </x:c>
      <x:c r="C3" s="6" t="str">
        <x:v>ManyChat СНАРЯГА</x:v>
      </x:c>
      <x:c r="D3" s="7" t="str">
        <x:v>instagram</x:v>
      </x:c>
      <x:c r="E3" s="7" t="str">
        <x:v>social</x:v>
      </x:c>
      <x:c r="F3" s="7" t="str">
        <x:v>winter_trips_2026</x:v>
      </x:c>
      <x:c r="G3" s="7" t="str">
        <x:v>reel_tent_01</x:v>
      </x:c>
      <x:c r="H3" s="7" t="str">
        <x:v>winter_hiking</x:v>
      </x:c>
      <x:c r="I3" s="6" t="str">
        <x:v>gear.html</x:v>
      </x:c>
      <x:c r="J3" s="6" t="str">
        <x:f>IF(D3="","",$R$2&amp;"/"&amp;I3&amp;"?utm_source="&amp;D3&amp;"&amp;utm_medium="&amp;E3&amp;"&amp;utm_campaign="&amp;F3&amp;"&amp;utm_content="&amp;G3&amp;IF(H3="","","&amp;utm_term="&amp;H3)&amp;IF(P3="","","#"&amp;P3))</x:f>
        <x:v>https://tz-11-turklub-tropa-phi.vercel.app/gear.html?utm_source=instagram&amp;utm_medium=social&amp;utm_campaign=winter_trips_2026&amp;utm_content=reel_tent_01&amp;utm_term=winter_hiking</x:v>
      </x:c>
      <x:c r="K3" s="6"/>
      <x:c r="L3" s="6"/>
      <x:c r="M3" s="6"/>
      <x:c r="N3" s="6" t="str">
        <x:v>Подготовлена, не опубликована</x:v>
      </x:c>
      <x:c r="O3" s="6" t="str">
        <x:v>Чек-лист и калькулятор</x:v>
      </x:c>
      <x:c r="P3" s="6" t="str"/>
      <x:c r="Q3" s="1"/>
      <x:c r="R3" s="1" t="str">
        <x:v>Источник: ТЗ-11/2026, раздел 5</x:v>
      </x:c>
    </x:row>
    <x:row r="4" ht="68" customHeight="1">
      <x:c r="A4" s="6" t="str">
        <x:v>U-03</x:v>
      </x:c>
      <x:c r="B4" s="6" t="str">
        <x:v>Instagram</x:v>
      </x:c>
      <x:c r="C4" s="6" t="str">
        <x:v>ManyChat НОВИЧОК</x:v>
      </x:c>
      <x:c r="D4" s="7" t="str">
        <x:v>instagram</x:v>
      </x:c>
      <x:c r="E4" s="7" t="str">
        <x:v>social</x:v>
      </x:c>
      <x:c r="F4" s="7" t="str">
        <x:v>beginners_dec_2026</x:v>
      </x:c>
      <x:c r="G4" s="7" t="str">
        <x:v>reel_tent_01_easy</x:v>
      </x:c>
      <x:c r="H4" s="7" t="str">
        <x:v>winter_hiking</x:v>
      </x:c>
      <x:c r="I4" s="6" t="str">
        <x:v>trips.html</x:v>
      </x:c>
      <x:c r="J4" s="6" t="str">
        <x:f>IF(D4="","",$R$2&amp;"/"&amp;I4&amp;"?utm_source="&amp;D4&amp;"&amp;utm_medium="&amp;E4&amp;"&amp;utm_campaign="&amp;F4&amp;"&amp;utm_content="&amp;G4&amp;IF(H4="","","&amp;utm_term="&amp;H4)&amp;IF(P4="","","#"&amp;P4))</x:f>
        <x:v>https://tz-11-turklub-tropa-phi.vercel.app/trips.html?utm_source=instagram&amp;utm_medium=social&amp;utm_campaign=beginners_dec_2026&amp;utm_content=reel_tent_01_easy&amp;utm_term=winter_hiking#easy</x:v>
      </x:c>
      <x:c r="K4" s="6"/>
      <x:c r="L4" s="6"/>
      <x:c r="M4" s="6"/>
      <x:c r="N4" s="6" t="str">
        <x:v>Подготовлена, не опубликована</x:v>
      </x:c>
      <x:c r="O4" s="6" t="str">
        <x:v>Три лёгких маршрута</x:v>
      </x:c>
      <x:c r="P4" s="6" t="str">
        <x:v>easy</x:v>
      </x:c>
      <x:c r="Q4" s="1"/>
      <x:c r="R4" s="1" t="str">
        <x:v>Публикации и короткие ссылки ещё не созданы</x:v>
      </x:c>
    </x:row>
    <x:row r="5" ht="68" customHeight="1">
      <x:c r="A5" s="6" t="str">
        <x:v>U-04</x:v>
      </x:c>
      <x:c r="B5" s="6" t="str">
        <x:v>Instagram</x:v>
      </x:c>
      <x:c r="C5" s="6" t="str">
        <x:v>Стикер Stories</x:v>
      </x:c>
      <x:c r="D5" s="7" t="str">
        <x:v>instagram</x:v>
      </x:c>
      <x:c r="E5" s="7" t="str">
        <x:v>social</x:v>
      </x:c>
      <x:c r="F5" s="7" t="str">
        <x:v>winter_trips_2026</x:v>
      </x:c>
      <x:c r="G5" s="7" t="str">
        <x:v>stories_01</x:v>
      </x:c>
      <x:c r="H5" s="7" t="str">
        <x:v>winter_hiking</x:v>
      </x:c>
      <x:c r="I5" s="6" t="str">
        <x:v>calendar.html</x:v>
      </x:c>
      <x:c r="J5" s="6" t="str">
        <x:f>IF(D5="","",$R$2&amp;"/"&amp;I5&amp;"?utm_source="&amp;D5&amp;"&amp;utm_medium="&amp;E5&amp;"&amp;utm_campaign="&amp;F5&amp;"&amp;utm_content="&amp;G5&amp;IF(H5="","","&amp;utm_term="&amp;H5)&amp;IF(P5="","","#"&amp;P5))</x:f>
        <x:v>https://tz-11-turklub-tropa-phi.vercel.app/calendar.html?utm_source=instagram&amp;utm_medium=social&amp;utm_campaign=winter_trips_2026&amp;utm_content=stories_01&amp;utm_term=winter_hiking</x:v>
      </x:c>
      <x:c r="K5" s="6"/>
      <x:c r="L5" s="6"/>
      <x:c r="M5" s="6"/>
      <x:c r="N5" s="6" t="str">
        <x:v>Подготовлена, не опубликована</x:v>
      </x:c>
      <x:c r="O5" s="6" t="str">
        <x:v>Сразу выбрать дату</x:v>
      </x:c>
      <x:c r="P5" s="6" t="str"/>
      <x:c r="Q5" s="1"/>
      <x:c r="R5" s="1"/>
    </x:row>
    <x:row r="6" ht="68" customHeight="1">
      <x:c r="A6" s="6" t="str">
        <x:v>U-05</x:v>
      </x:c>
      <x:c r="B6" s="6" t="str">
        <x:v>ВКонтакте</x:v>
      </x:c>
      <x:c r="C6" s="6" t="str">
        <x:v>Пост сообщества</x:v>
      </x:c>
      <x:c r="D6" s="7" t="str">
        <x:v>vk</x:v>
      </x:c>
      <x:c r="E6" s="7" t="str">
        <x:v>social</x:v>
      </x:c>
      <x:c r="F6" s="7" t="str">
        <x:v>winter_trips_2026</x:v>
      </x:c>
      <x:c r="G6" s="7" t="str">
        <x:v>post_01</x:v>
      </x:c>
      <x:c r="H6" s="7" t="str">
        <x:v>winter_hiking</x:v>
      </x:c>
      <x:c r="I6" s="6" t="str">
        <x:v>trips.html</x:v>
      </x:c>
      <x:c r="J6" s="6" t="str">
        <x:f>IF(D6="","",$R$2&amp;"/"&amp;I6&amp;"?utm_source="&amp;D6&amp;"&amp;utm_medium="&amp;E6&amp;"&amp;utm_campaign="&amp;F6&amp;"&amp;utm_content="&amp;G6&amp;IF(H6="","","&amp;utm_term="&amp;H6)&amp;IF(P6="","","#"&amp;P6))</x:f>
        <x:v>https://tz-11-turklub-tropa-phi.vercel.app/trips.html?utm_source=vk&amp;utm_medium=social&amp;utm_campaign=winter_trips_2026&amp;utm_content=post_01&amp;utm_term=winter_hiking</x:v>
      </x:c>
      <x:c r="K6" s="6"/>
      <x:c r="L6" s="6"/>
      <x:c r="M6" s="6"/>
      <x:c r="N6" s="6" t="str">
        <x:v>Подготовлена, не опубликована</x:v>
      </x:c>
      <x:c r="O6" s="6" t="str">
        <x:v>Сравнить маршруты</x:v>
      </x:c>
      <x:c r="P6" s="6" t="str"/>
      <x:c r="Q6" s="1"/>
      <x:c r="R6" s="1"/>
    </x:row>
    <x:row r="7" ht="68" customHeight="1">
      <x:c r="A7" s="6" t="str">
        <x:v>U-06</x:v>
      </x:c>
      <x:c r="B7" s="6" t="str">
        <x:v>ВКонтакте</x:v>
      </x:c>
      <x:c r="C7" s="6" t="str">
        <x:v>Фотоотчёт</x:v>
      </x:c>
      <x:c r="D7" s="7" t="str">
        <x:v>vk</x:v>
      </x:c>
      <x:c r="E7" s="7" t="str">
        <x:v>social</x:v>
      </x:c>
      <x:c r="F7" s="7" t="str">
        <x:v>winter_memories_2026</x:v>
      </x:c>
      <x:c r="G7" s="7" t="str">
        <x:v>photo_report</x:v>
      </x:c>
      <x:c r="H7" s="7" t="str">
        <x:v>winter_hiking</x:v>
      </x:c>
      <x:c r="I7" s="6" t="str">
        <x:v>calendar.html</x:v>
      </x:c>
      <x:c r="J7" s="6" t="str">
        <x:f>IF(D7="","",$R$2&amp;"/"&amp;I7&amp;"?utm_source="&amp;D7&amp;"&amp;utm_medium="&amp;E7&amp;"&amp;utm_campaign="&amp;F7&amp;"&amp;utm_content="&amp;G7&amp;IF(H7="","","&amp;utm_term="&amp;H7)&amp;IF(P7="","","#"&amp;P7))</x:f>
        <x:v>https://tz-11-turklub-tropa-phi.vercel.app/calendar.html?utm_source=vk&amp;utm_medium=social&amp;utm_campaign=winter_memories_2026&amp;utm_content=photo_report&amp;utm_term=winter_hiking</x:v>
      </x:c>
      <x:c r="K7" s="6"/>
      <x:c r="L7" s="6"/>
      <x:c r="M7" s="6"/>
      <x:c r="N7" s="6" t="str">
        <x:v>Подготовлена, не опубликована</x:v>
      </x:c>
      <x:c r="O7" s="6" t="str">
        <x:v>После фото выбрать следующий выход</x:v>
      </x:c>
      <x:c r="P7" s="6" t="str"/>
      <x:c r="Q7" s="1"/>
      <x:c r="R7" s="1"/>
    </x:row>
    <x:row r="8" ht="68" customHeight="1">
      <x:c r="A8" s="6" t="str">
        <x:v>U-07</x:v>
      </x:c>
      <x:c r="B8" s="6" t="str">
        <x:v>Telegram</x:v>
      </x:c>
      <x:c r="C8" s="6" t="str">
        <x:v>Пост канала</x:v>
      </x:c>
      <x:c r="D8" s="7" t="str">
        <x:v>telegram</x:v>
      </x:c>
      <x:c r="E8" s="7" t="str">
        <x:v>social</x:v>
      </x:c>
      <x:c r="F8" s="7" t="str">
        <x:v>winter_trips_2026</x:v>
      </x:c>
      <x:c r="G8" s="7" t="str">
        <x:v>post_01</x:v>
      </x:c>
      <x:c r="H8" s="7" t="str">
        <x:v>winter_hiking</x:v>
      </x:c>
      <x:c r="I8" s="6" t="str">
        <x:v>calendar.html</x:v>
      </x:c>
      <x:c r="J8" s="6" t="str">
        <x:f>IF(D8="","",$R$2&amp;"/"&amp;I8&amp;"?utm_source="&amp;D8&amp;"&amp;utm_medium="&amp;E8&amp;"&amp;utm_campaign="&amp;F8&amp;"&amp;utm_content="&amp;G8&amp;IF(H8="","","&amp;utm_term="&amp;H8)&amp;IF(P8="","","#"&amp;P8))</x:f>
        <x:v>https://tz-11-turklub-tropa-phi.vercel.app/calendar.html?utm_source=telegram&amp;utm_medium=social&amp;utm_campaign=winter_trips_2026&amp;utm_content=post_01&amp;utm_term=winter_hiking</x:v>
      </x:c>
      <x:c r="K8" s="6"/>
      <x:c r="L8" s="6"/>
      <x:c r="M8" s="6"/>
      <x:c r="N8" s="6" t="str">
        <x:v>Подготовлена, не опубликована</x:v>
      </x:c>
      <x:c r="O8" s="6" t="str">
        <x:v>Сразу выбрать дату</x:v>
      </x:c>
      <x:c r="P8" s="6" t="str"/>
      <x:c r="Q8" s="1"/>
      <x:c r="R8" s="1"/>
    </x:row>
    <x:row r="9" ht="68" customHeight="1">
      <x:c r="A9" s="6" t="str">
        <x:v>U-08</x:v>
      </x:c>
      <x:c r="B9" s="6" t="str">
        <x:v>Telegram</x:v>
      </x:c>
      <x:c r="C9" s="6" t="str">
        <x:v>Чат участников</x:v>
      </x:c>
      <x:c r="D9" s="7" t="str">
        <x:v>telegram</x:v>
      </x:c>
      <x:c r="E9" s="7" t="str">
        <x:v>social</x:v>
      </x:c>
      <x:c r="F9" s="7" t="str">
        <x:v>winter_trips_2026</x:v>
      </x:c>
      <x:c r="G9" s="7" t="str">
        <x:v>members_chat</x:v>
      </x:c>
      <x:c r="H9" s="7" t="str">
        <x:v>winter_hiking</x:v>
      </x:c>
      <x:c r="I9" s="6" t="str">
        <x:v>calendar.html</x:v>
      </x:c>
      <x:c r="J9" s="6" t="str">
        <x:f>IF(D9="","",$R$2&amp;"/"&amp;I9&amp;"?utm_source="&amp;D9&amp;"&amp;utm_medium="&amp;E9&amp;"&amp;utm_campaign="&amp;F9&amp;"&amp;utm_content="&amp;G9&amp;IF(H9="","","&amp;utm_term="&amp;H9)&amp;IF(P9="","","#"&amp;P9))</x:f>
        <x:v>https://tz-11-turklub-tropa-phi.vercel.app/calendar.html?utm_source=telegram&amp;utm_medium=social&amp;utm_campaign=winter_trips_2026&amp;utm_content=members_chat&amp;utm_term=winter_hiking</x:v>
      </x:c>
      <x:c r="K9" s="6"/>
      <x:c r="L9" s="6"/>
      <x:c r="M9" s="6"/>
      <x:c r="N9" s="6" t="str">
        <x:v>Подготовлена, не опубликована</x:v>
      </x:c>
      <x:c r="O9" s="6" t="str">
        <x:v>Повторный выход по расписанию</x:v>
      </x:c>
      <x:c r="P9" s="6" t="str"/>
      <x:c r="Q9" s="1"/>
      <x:c r="R9" s="1"/>
    </x:row>
    <x:row r="10" ht="68" customHeight="1">
      <x:c r="A10" s="6" t="str">
        <x:v>U-09</x:v>
      </x:c>
      <x:c r="B10" s="6" t="str">
        <x:v>YouTube</x:v>
      </x:c>
      <x:c r="C10" s="6" t="str">
        <x:v>Описание видео Снежное плато</x:v>
      </x:c>
      <x:c r="D10" s="7" t="str">
        <x:v>youtube</x:v>
      </x:c>
      <x:c r="E10" s="7" t="str">
        <x:v>social</x:v>
      </x:c>
      <x:c r="F10" s="7" t="str">
        <x:v>winter_trips_2026</x:v>
      </x:c>
      <x:c r="G10" s="7" t="str">
        <x:v>video_plateau_01</x:v>
      </x:c>
      <x:c r="H10" s="7" t="str">
        <x:v>winter_hiking</x:v>
      </x:c>
      <x:c r="I10" s="6" t="str">
        <x:v>trips.html</x:v>
      </x:c>
      <x:c r="J10" s="6" t="str">
        <x:f>IF(D10="","",$R$2&amp;"/"&amp;I10&amp;"?utm_source="&amp;D10&amp;"&amp;utm_medium="&amp;E10&amp;"&amp;utm_campaign="&amp;F10&amp;"&amp;utm_content="&amp;G10&amp;IF(H10="","","&amp;utm_term="&amp;H10)&amp;IF(P10="","","#"&amp;P10))</x:f>
        <x:v>https://tz-11-turklub-tropa-phi.vercel.app/trips.html?utm_source=youtube&amp;utm_medium=social&amp;utm_campaign=winter_trips_2026&amp;utm_content=video_plateau_01&amp;utm_term=winter_hiking</x:v>
      </x:c>
      <x:c r="K10" s="6"/>
      <x:c r="L10" s="6"/>
      <x:c r="M10" s="6"/>
      <x:c r="N10" s="6" t="str">
        <x:v>Подготовлена, не опубликована</x:v>
      </x:c>
      <x:c r="O10" s="6" t="str">
        <x:v>Маршруты после просмотра видео</x:v>
      </x:c>
      <x:c r="P10" s="6" t="str"/>
      <x:c r="Q10" s="1"/>
      <x:c r="R10" s="1"/>
    </x:row>
    <x:row r="11" ht="68" customHeight="1">
      <x:c r="A11" s="6" t="str">
        <x:v>U-10</x:v>
      </x:c>
      <x:c r="B11" s="6" t="str">
        <x:v>Партнёр 1</x:v>
      </x:c>
      <x:c r="C11" s="6" t="str">
        <x:v>Партнёрская публикация</x:v>
      </x:c>
      <x:c r="D11" s="7" t="str"/>
      <x:c r="E11" s="7" t="str">
        <x:v>affiliate</x:v>
      </x:c>
      <x:c r="F11" s="7" t="str">
        <x:v>winter_trips_2026</x:v>
      </x:c>
      <x:c r="G11" s="7" t="str">
        <x:v>stories_01</x:v>
      </x:c>
      <x:c r="H11" s="7" t="str">
        <x:v>winter_hiking</x:v>
      </x:c>
      <x:c r="I11" s="6" t="str">
        <x:v>index.html</x:v>
      </x:c>
      <x:c r="J11" s="6" t="str">
        <x:f>IF(D11="","",$R$2&amp;"/"&amp;I11&amp;"?utm_source="&amp;D11&amp;"&amp;utm_medium="&amp;E11&amp;"&amp;utm_campaign="&amp;F11&amp;"&amp;utm_content="&amp;G11&amp;IF(H11="","","&amp;utm_term="&amp;H11)&amp;IF(P11="","","#"&amp;P11))</x:f>
      </x:c>
      <x:c r="K11" s="6"/>
      <x:c r="L11" s="6"/>
      <x:c r="M11" s="6"/>
      <x:c r="N11" s="6" t="str">
        <x:v>Отложено пользователем</x:v>
      </x:c>
      <x:c r="O11" s="6" t="str">
        <x:v>Нужен ник первого одногруппника</x:v>
      </x:c>
      <x:c r="P11" s="6" t="str"/>
      <x:c r="Q11" s="1"/>
      <x:c r="R11" s="1"/>
    </x:row>
    <x:row r="12" ht="68" customHeight="1">
      <x:c r="A12" s="6" t="str">
        <x:v>U-11</x:v>
      </x:c>
      <x:c r="B12" s="6" t="str">
        <x:v>Партнёр 2</x:v>
      </x:c>
      <x:c r="C12" s="6" t="str">
        <x:v>Партнёрская публикация</x:v>
      </x:c>
      <x:c r="D12" s="7" t="str"/>
      <x:c r="E12" s="7" t="str">
        <x:v>affiliate</x:v>
      </x:c>
      <x:c r="F12" s="7" t="str">
        <x:v>winter_trips_2026</x:v>
      </x:c>
      <x:c r="G12" s="7" t="str">
        <x:v>post_01</x:v>
      </x:c>
      <x:c r="H12" s="7" t="str">
        <x:v>winter_hiking</x:v>
      </x:c>
      <x:c r="I12" s="6" t="str">
        <x:v>gear.html</x:v>
      </x:c>
      <x:c r="J12" s="6" t="str">
        <x:f>IF(D12="","",$R$2&amp;"/"&amp;I12&amp;"?utm_source="&amp;D12&amp;"&amp;utm_medium="&amp;E12&amp;"&amp;utm_campaign="&amp;F12&amp;"&amp;utm_content="&amp;G12&amp;IF(H12="","","&amp;utm_term="&amp;H12)&amp;IF(P12="","","#"&amp;P12))</x:f>
      </x:c>
      <x:c r="K12" s="6"/>
      <x:c r="L12" s="6"/>
      <x:c r="M12" s="6"/>
      <x:c r="N12" s="6" t="str">
        <x:v>Отложено пользователем</x:v>
      </x:c>
      <x:c r="O12" s="6" t="str">
        <x:v>Нужен ник второго одногруппника</x:v>
      </x:c>
      <x:c r="P12" s="6" t="str"/>
      <x:c r="Q12" s="1"/>
      <x:c r="R12" s="1"/>
    </x:row>
    <x:row r="13" ht="68" customHeight="1">
      <x:c r="A13" s="6" t="str">
        <x:v>U-12</x:v>
      </x:c>
      <x:c r="B13" s="6" t="str">
        <x:v>Магазин</x:v>
      </x:c>
      <x:c r="C13" s="6" t="str">
        <x:v>QR на стойке</x:v>
      </x:c>
      <x:c r="D13" s="7" t="str">
        <x:v>gearshop_qr</x:v>
      </x:c>
      <x:c r="E13" s="7" t="str">
        <x:v>qr</x:v>
      </x:c>
      <x:c r="F13" s="7" t="str">
        <x:v>winter_trips_2026</x:v>
      </x:c>
      <x:c r="G13" s="7" t="str">
        <x:v>counter_a4</x:v>
      </x:c>
      <x:c r="H13" s="7" t="str">
        <x:v>winter_hiking</x:v>
      </x:c>
      <x:c r="I13" s="6" t="str">
        <x:v>gear.html</x:v>
      </x:c>
      <x:c r="J13" s="6" t="str">
        <x:f>IF(D13="","",$R$2&amp;"/"&amp;I13&amp;"?utm_source="&amp;D13&amp;"&amp;utm_medium="&amp;E13&amp;"&amp;utm_campaign="&amp;F13&amp;"&amp;utm_content="&amp;G13&amp;IF(H13="","","&amp;utm_term="&amp;H13)&amp;IF(P13="","","#"&amp;P13))</x:f>
        <x:v>https://tz-11-turklub-tropa-phi.vercel.app/gear.html?utm_source=gearshop_qr&amp;utm_medium=qr&amp;utm_campaign=winter_trips_2026&amp;utm_content=counter_a4&amp;utm_term=winter_hiking</x:v>
      </x:c>
      <x:c r="K13" s="6"/>
      <x:c r="L13" s="6"/>
      <x:c r="M13" s="6"/>
      <x:c r="N13" s="6" t="str">
        <x:v>Подготовлена, не опубликована</x:v>
      </x:c>
      <x:c r="O13" s="6" t="str">
        <x:v>Чек-лист рядом со снаряжением</x:v>
      </x:c>
      <x:c r="P13" s="6" t="str"/>
      <x:c r="Q13" s="1"/>
      <x:c r="R13" s="1"/>
    </x:row>
  </x:sheetData>
  <x:conditionalFormatting sqref="N2:N13">
    <x:cfRule type="containsText" dxfId="0" priority="1" operator="containsText" text="Отложено"/>
  </x:conditionalFormatting>
  <x:pageMargins left="0.7" right="0.7" top="0.75" bottom="0.75" header="0.3" footer="0.3"/>
</x:worksheet>
</file>